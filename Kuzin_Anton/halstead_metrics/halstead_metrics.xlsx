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ton.kuzin\Documents\Education\Аспирантура\2 семестр\"/>
    </mc:Choice>
  </mc:AlternateContent>
  <bookViews>
    <workbookView xWindow="0" yWindow="0" windowWidth="19200" windowHeight="676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J6" i="1" s="1"/>
  <c r="D29" i="1"/>
  <c r="J5" i="1" s="1"/>
  <c r="E29" i="1"/>
  <c r="J4" i="1" s="1"/>
  <c r="B29" i="1"/>
  <c r="K29" i="2"/>
  <c r="H29" i="2"/>
  <c r="F29" i="2"/>
  <c r="E32" i="2" s="1"/>
  <c r="C29" i="2"/>
  <c r="E31" i="2" s="1"/>
  <c r="J3" i="1" l="1"/>
  <c r="J7" i="1" s="1"/>
  <c r="J8" i="1"/>
  <c r="E33" i="2"/>
  <c r="J9" i="1" l="1"/>
</calcChain>
</file>

<file path=xl/sharedStrings.xml><?xml version="1.0" encoding="utf-8"?>
<sst xmlns="http://schemas.openxmlformats.org/spreadsheetml/2006/main" count="110" uniqueCount="62">
  <si>
    <t>Оператор</t>
  </si>
  <si>
    <t>def</t>
  </si>
  <si>
    <t>return</t>
  </si>
  <si>
    <t>for</t>
  </si>
  <si>
    <t>if</t>
  </si>
  <si>
    <t>&gt;</t>
  </si>
  <si>
    <t>+</t>
  </si>
  <si>
    <t>*</t>
  </si>
  <si>
    <t>print</t>
  </si>
  <si>
    <t>matrix</t>
  </si>
  <si>
    <t>a</t>
  </si>
  <si>
    <t>b</t>
  </si>
  <si>
    <t>result</t>
  </si>
  <si>
    <t>i</t>
  </si>
  <si>
    <t>j</t>
  </si>
  <si>
    <t>k</t>
  </si>
  <si>
    <t>max_value</t>
  </si>
  <si>
    <t>max_position</t>
  </si>
  <si>
    <t>A</t>
  </si>
  <si>
    <t>B</t>
  </si>
  <si>
    <t>AT</t>
  </si>
  <si>
    <t>C</t>
  </si>
  <si>
    <t>max_val</t>
  </si>
  <si>
    <t>max_pos</t>
  </si>
  <si>
    <t>Операнд</t>
  </si>
  <si>
    <t>№</t>
  </si>
  <si>
    <t>Число вхождений</t>
  </si>
  <si>
    <t>&gt; </t>
  </si>
  <si>
    <r>
      <t>N</t>
    </r>
    <r>
      <rPr>
        <vertAlign val="subscript"/>
        <sz val="10"/>
        <color rgb="FF000000"/>
        <rFont val="Calibri"/>
        <family val="2"/>
        <charset val="204"/>
      </rPr>
      <t>1</t>
    </r>
    <r>
      <rPr>
        <sz val="10"/>
        <color rgb="FF000000"/>
        <rFont val="Calibri"/>
        <family val="2"/>
        <charset val="204"/>
      </rPr>
      <t xml:space="preserve"> = </t>
    </r>
  </si>
  <si>
    <r>
      <t>n</t>
    </r>
    <r>
      <rPr>
        <vertAlign val="subscript"/>
        <sz val="10"/>
        <color rgb="FF000000"/>
        <rFont val="Calibri"/>
        <family val="2"/>
        <charset val="204"/>
      </rPr>
      <t>1</t>
    </r>
    <r>
      <rPr>
        <sz val="10"/>
        <color rgb="FF000000"/>
        <rFont val="Calibri"/>
        <family val="2"/>
        <charset val="204"/>
      </rPr>
      <t xml:space="preserve"> = </t>
    </r>
  </si>
  <si>
    <r>
      <t>n</t>
    </r>
    <r>
      <rPr>
        <vertAlign val="subscript"/>
        <sz val="10"/>
        <color rgb="FF000000"/>
        <rFont val="Calibri"/>
        <family val="2"/>
        <charset val="204"/>
      </rPr>
      <t>2</t>
    </r>
    <r>
      <rPr>
        <sz val="10"/>
        <color rgb="FF000000"/>
        <rFont val="Calibri"/>
        <family val="2"/>
        <charset val="204"/>
      </rPr>
      <t xml:space="preserve"> = </t>
    </r>
  </si>
  <si>
    <t>Словарь программы n:</t>
  </si>
  <si>
    <t>Длина программы N:</t>
  </si>
  <si>
    <t>Объем программы V:</t>
  </si>
  <si>
    <t>+=</t>
  </si>
  <si>
    <t>in</t>
  </si>
  <si>
    <t>,</t>
  </si>
  <si>
    <t>:</t>
  </si>
  <si>
    <t>=</t>
  </si>
  <si>
    <t>==</t>
  </si>
  <si>
    <t>()</t>
  </si>
  <si>
    <t>[]</t>
  </si>
  <si>
    <t>__name__</t>
  </si>
  <si>
    <t>f</t>
  </si>
  <si>
    <t>find_max_in_matrix</t>
  </si>
  <si>
    <t>len</t>
  </si>
  <si>
    <t>list</t>
  </si>
  <si>
    <t>multiply_matrices</t>
  </si>
  <si>
    <t>range</t>
  </si>
  <si>
    <t>row</t>
  </si>
  <si>
    <t>transpose</t>
  </si>
  <si>
    <t>zip</t>
  </si>
  <si>
    <t>Столбец1</t>
  </si>
  <si>
    <t>Столбец2</t>
  </si>
  <si>
    <r>
      <t>n</t>
    </r>
    <r>
      <rPr>
        <vertAlign val="subscript"/>
        <sz val="11"/>
        <rFont val="Calibri"/>
        <family val="2"/>
        <charset val="204"/>
      </rPr>
      <t>1</t>
    </r>
    <r>
      <rPr>
        <sz val="11"/>
        <rFont val="Calibri"/>
        <family val="2"/>
        <charset val="204"/>
      </rPr>
      <t xml:space="preserve"> = </t>
    </r>
  </si>
  <si>
    <r>
      <t>n</t>
    </r>
    <r>
      <rPr>
        <vertAlign val="subscript"/>
        <sz val="11"/>
        <rFont val="Calibri"/>
        <family val="2"/>
        <charset val="204"/>
      </rPr>
      <t>2</t>
    </r>
    <r>
      <rPr>
        <sz val="11"/>
        <rFont val="Calibri"/>
        <family val="2"/>
        <charset val="204"/>
      </rPr>
      <t xml:space="preserve"> = </t>
    </r>
  </si>
  <si>
    <r>
      <t>N</t>
    </r>
    <r>
      <rPr>
        <vertAlign val="subscript"/>
        <sz val="11"/>
        <rFont val="Calibri"/>
        <family val="2"/>
        <charset val="204"/>
      </rPr>
      <t>1</t>
    </r>
    <r>
      <rPr>
        <sz val="11"/>
        <rFont val="Calibri"/>
        <family val="2"/>
        <charset val="204"/>
      </rPr>
      <t xml:space="preserve"> = </t>
    </r>
  </si>
  <si>
    <r>
      <t>N</t>
    </r>
    <r>
      <rPr>
        <vertAlign val="subscript"/>
        <sz val="11"/>
        <rFont val="Calibri"/>
        <family val="2"/>
        <charset val="204"/>
      </rPr>
      <t>2</t>
    </r>
    <r>
      <rPr>
        <sz val="11"/>
        <rFont val="Calibri"/>
        <family val="2"/>
        <charset val="204"/>
      </rPr>
      <t xml:space="preserve"> = </t>
    </r>
  </si>
  <si>
    <t>Число вхождений операндов</t>
  </si>
  <si>
    <t>Число вхождений операторов</t>
  </si>
  <si>
    <t>№ оператора</t>
  </si>
  <si>
    <t>№ операнда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</si>
</sst>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</font>
    <font>
      <vertAlign val="subscript"/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vertAlign val="subscript"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0" fillId="0" borderId="0" xfId="0" applyBorder="1"/>
    <xf numFmtId="0" fontId="8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auto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auto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auto="1"/>
        <name val="Calibri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6" name="Таблица6" displayName="Таблица6" ref="I2:J9" headerRowDxfId="5" dataDxfId="3" totalsRowDxfId="4" headerRowBorderDxfId="8" tableBorderDxfId="9" totalsRowBorderDxfId="7">
  <autoFilter ref="I2:J9"/>
  <tableColumns count="2">
    <tableColumn id="1" name="Столбец1" totalsRowLabel="Итог" dataDxfId="2" totalsRowDxfId="6"/>
    <tableColumn id="2" name="Столбец2" totalsRowFunction="sum" dataDxfId="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B2:G29" totalsRowShown="0" headerRowDxfId="0" dataDxfId="16">
  <autoFilter ref="B2:G29"/>
  <tableColumns count="6">
    <tableColumn id="1" name="№ оператора" dataDxfId="15"/>
    <tableColumn id="2" name="Оператор" dataDxfId="14"/>
    <tableColumn id="3" name="Число вхождений операторов" dataDxfId="13"/>
    <tableColumn id="4" name="№ операнда" dataDxfId="12"/>
    <tableColumn id="5" name="Операнд" dataDxfId="11"/>
    <tableColumn id="6" name="Число вхождений операндов" dataDxfId="1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0"/>
  <sheetViews>
    <sheetView tabSelected="1" workbookViewId="0">
      <selection activeCell="I20" sqref="I20"/>
    </sheetView>
  </sheetViews>
  <sheetFormatPr defaultRowHeight="14.5" x14ac:dyDescent="0.35"/>
  <cols>
    <col min="2" max="2" width="10.90625" customWidth="1"/>
    <col min="3" max="3" width="12.81640625" customWidth="1"/>
    <col min="4" max="4" width="17.08984375" customWidth="1"/>
    <col min="5" max="5" width="11.90625" customWidth="1"/>
    <col min="6" max="6" width="16.26953125" customWidth="1"/>
    <col min="7" max="7" width="18" customWidth="1"/>
    <col min="9" max="9" width="21.54296875" customWidth="1"/>
    <col min="10" max="10" width="13.1796875" customWidth="1"/>
  </cols>
  <sheetData>
    <row r="1" spans="2:11" x14ac:dyDescent="0.35">
      <c r="H1" s="28"/>
      <c r="I1" s="28"/>
      <c r="J1" s="28"/>
      <c r="K1" s="28"/>
    </row>
    <row r="2" spans="2:11" ht="26" x14ac:dyDescent="0.35">
      <c r="B2" s="26" t="s">
        <v>60</v>
      </c>
      <c r="C2" s="26" t="s">
        <v>0</v>
      </c>
      <c r="D2" s="26" t="s">
        <v>59</v>
      </c>
      <c r="E2" s="26" t="s">
        <v>61</v>
      </c>
      <c r="F2" s="26" t="s">
        <v>24</v>
      </c>
      <c r="G2" s="26" t="s">
        <v>58</v>
      </c>
      <c r="H2" s="28"/>
      <c r="I2" s="29" t="s">
        <v>52</v>
      </c>
      <c r="J2" s="25" t="s">
        <v>53</v>
      </c>
      <c r="K2" s="28"/>
    </row>
    <row r="3" spans="2:11" ht="16.5" x14ac:dyDescent="0.35">
      <c r="B3" s="24">
        <v>1</v>
      </c>
      <c r="C3" s="24" t="s">
        <v>40</v>
      </c>
      <c r="D3" s="24">
        <v>29</v>
      </c>
      <c r="E3" s="24">
        <v>1</v>
      </c>
      <c r="F3" s="24" t="s">
        <v>18</v>
      </c>
      <c r="G3" s="24">
        <v>4</v>
      </c>
      <c r="H3" s="28"/>
      <c r="I3" s="29" t="s">
        <v>54</v>
      </c>
      <c r="J3" s="25">
        <f>B29</f>
        <v>15</v>
      </c>
      <c r="K3" s="28"/>
    </row>
    <row r="4" spans="2:11" ht="16.5" x14ac:dyDescent="0.35">
      <c r="B4" s="24">
        <v>2</v>
      </c>
      <c r="C4" s="24" t="s">
        <v>7</v>
      </c>
      <c r="D4" s="24">
        <v>2</v>
      </c>
      <c r="E4" s="24">
        <v>2</v>
      </c>
      <c r="F4" s="24" t="s">
        <v>20</v>
      </c>
      <c r="G4" s="24">
        <v>2</v>
      </c>
      <c r="H4" s="28"/>
      <c r="I4" s="29" t="s">
        <v>55</v>
      </c>
      <c r="J4" s="25">
        <f>E29</f>
        <v>26</v>
      </c>
      <c r="K4" s="28"/>
    </row>
    <row r="5" spans="2:11" ht="16.5" x14ac:dyDescent="0.35">
      <c r="B5" s="24">
        <v>3</v>
      </c>
      <c r="C5" s="24" t="s">
        <v>6</v>
      </c>
      <c r="D5" s="24">
        <v>1</v>
      </c>
      <c r="E5" s="24">
        <v>3</v>
      </c>
      <c r="F5" s="24" t="s">
        <v>19</v>
      </c>
      <c r="G5" s="24">
        <v>3</v>
      </c>
      <c r="H5" s="28"/>
      <c r="I5" s="29" t="s">
        <v>56</v>
      </c>
      <c r="J5" s="25">
        <f>D29</f>
        <v>142</v>
      </c>
      <c r="K5" s="28"/>
    </row>
    <row r="6" spans="2:11" ht="16.5" x14ac:dyDescent="0.35">
      <c r="B6" s="24">
        <v>4</v>
      </c>
      <c r="C6" s="24" t="s">
        <v>34</v>
      </c>
      <c r="D6" s="24">
        <v>1</v>
      </c>
      <c r="E6" s="24">
        <v>4</v>
      </c>
      <c r="F6" s="24" t="s">
        <v>21</v>
      </c>
      <c r="G6" s="24">
        <v>3</v>
      </c>
      <c r="H6" s="28"/>
      <c r="I6" s="29" t="s">
        <v>57</v>
      </c>
      <c r="J6" s="25">
        <f>G29</f>
        <v>89</v>
      </c>
      <c r="K6" s="28"/>
    </row>
    <row r="7" spans="2:11" x14ac:dyDescent="0.35">
      <c r="B7" s="24">
        <v>5</v>
      </c>
      <c r="C7" s="24" t="s">
        <v>36</v>
      </c>
      <c r="D7" s="24">
        <v>26</v>
      </c>
      <c r="E7" s="24">
        <v>5</v>
      </c>
      <c r="F7" s="24" t="s">
        <v>42</v>
      </c>
      <c r="G7" s="24">
        <v>1</v>
      </c>
      <c r="H7" s="28"/>
      <c r="I7" s="25" t="s">
        <v>31</v>
      </c>
      <c r="J7" s="25">
        <f xml:space="preserve"> SUM(J3,J4)</f>
        <v>41</v>
      </c>
      <c r="K7" s="28"/>
    </row>
    <row r="8" spans="2:11" x14ac:dyDescent="0.35">
      <c r="B8" s="24">
        <v>6</v>
      </c>
      <c r="C8" s="24" t="s">
        <v>37</v>
      </c>
      <c r="D8" s="24">
        <v>10</v>
      </c>
      <c r="E8" s="24">
        <v>6</v>
      </c>
      <c r="F8" s="24" t="s">
        <v>10</v>
      </c>
      <c r="G8" s="24">
        <v>4</v>
      </c>
      <c r="H8" s="28"/>
      <c r="I8" s="25" t="s">
        <v>32</v>
      </c>
      <c r="J8" s="25">
        <f xml:space="preserve"> SUM(J5,J6)</f>
        <v>231</v>
      </c>
      <c r="K8" s="28"/>
    </row>
    <row r="9" spans="2:11" x14ac:dyDescent="0.35">
      <c r="B9" s="24">
        <v>7</v>
      </c>
      <c r="C9" s="24" t="s">
        <v>38</v>
      </c>
      <c r="D9" s="24">
        <v>13</v>
      </c>
      <c r="E9" s="24">
        <v>7</v>
      </c>
      <c r="F9" s="24" t="s">
        <v>11</v>
      </c>
      <c r="G9" s="24">
        <v>5</v>
      </c>
      <c r="H9" s="28"/>
      <c r="I9" s="25" t="s">
        <v>33</v>
      </c>
      <c r="J9" s="25">
        <f xml:space="preserve"> J8 * LOG(J7,2)</f>
        <v>1237.5945130667774</v>
      </c>
      <c r="K9" s="28"/>
    </row>
    <row r="10" spans="2:11" x14ac:dyDescent="0.35">
      <c r="B10" s="24">
        <v>8</v>
      </c>
      <c r="C10" s="24" t="s">
        <v>39</v>
      </c>
      <c r="D10" s="24">
        <v>1</v>
      </c>
      <c r="E10" s="24">
        <v>8</v>
      </c>
      <c r="F10" s="24" t="s">
        <v>43</v>
      </c>
      <c r="G10" s="24">
        <v>1</v>
      </c>
      <c r="H10" s="28"/>
      <c r="I10" s="28"/>
      <c r="J10" s="28"/>
      <c r="K10" s="28"/>
    </row>
    <row r="11" spans="2:11" x14ac:dyDescent="0.35">
      <c r="B11" s="24">
        <v>9</v>
      </c>
      <c r="C11" s="24" t="s">
        <v>27</v>
      </c>
      <c r="D11" s="24">
        <v>1</v>
      </c>
      <c r="E11" s="24">
        <v>9</v>
      </c>
      <c r="F11" s="24" t="s">
        <v>44</v>
      </c>
      <c r="G11" s="24">
        <v>2</v>
      </c>
      <c r="H11" s="28"/>
      <c r="I11" s="28"/>
      <c r="J11" s="28"/>
      <c r="K11" s="28"/>
    </row>
    <row r="12" spans="2:11" x14ac:dyDescent="0.35">
      <c r="B12" s="24">
        <v>10</v>
      </c>
      <c r="C12" s="24" t="s">
        <v>41</v>
      </c>
      <c r="D12" s="24">
        <v>26</v>
      </c>
      <c r="E12" s="24">
        <v>10</v>
      </c>
      <c r="F12" s="24" t="s">
        <v>13</v>
      </c>
      <c r="G12" s="24">
        <v>7</v>
      </c>
      <c r="H12" s="28"/>
      <c r="I12" s="28"/>
      <c r="J12" s="28"/>
      <c r="K12" s="28"/>
    </row>
    <row r="13" spans="2:11" x14ac:dyDescent="0.35">
      <c r="B13" s="24">
        <v>11</v>
      </c>
      <c r="C13" s="24" t="s">
        <v>1</v>
      </c>
      <c r="D13" s="24">
        <v>3</v>
      </c>
      <c r="E13" s="24">
        <v>11</v>
      </c>
      <c r="F13" s="24" t="s">
        <v>14</v>
      </c>
      <c r="G13" s="24">
        <v>7</v>
      </c>
    </row>
    <row r="14" spans="2:11" x14ac:dyDescent="0.35">
      <c r="B14" s="24">
        <v>12</v>
      </c>
      <c r="C14" s="24" t="s">
        <v>3</v>
      </c>
      <c r="D14" s="24">
        <v>8</v>
      </c>
      <c r="E14" s="24">
        <v>12</v>
      </c>
      <c r="F14" s="24" t="s">
        <v>15</v>
      </c>
      <c r="G14" s="24">
        <v>3</v>
      </c>
    </row>
    <row r="15" spans="2:11" x14ac:dyDescent="0.35">
      <c r="B15" s="24">
        <v>13</v>
      </c>
      <c r="C15" s="24" t="s">
        <v>4</v>
      </c>
      <c r="D15" s="24">
        <v>2</v>
      </c>
      <c r="E15" s="24">
        <v>13</v>
      </c>
      <c r="F15" s="24" t="s">
        <v>45</v>
      </c>
      <c r="G15" s="24">
        <v>7</v>
      </c>
    </row>
    <row r="16" spans="2:11" x14ac:dyDescent="0.35">
      <c r="B16" s="24">
        <v>14</v>
      </c>
      <c r="C16" s="24" t="s">
        <v>35</v>
      </c>
      <c r="D16" s="24">
        <v>16</v>
      </c>
      <c r="E16" s="24">
        <v>14</v>
      </c>
      <c r="F16" s="24" t="s">
        <v>46</v>
      </c>
      <c r="G16" s="24">
        <v>1</v>
      </c>
    </row>
    <row r="17" spans="2:7" x14ac:dyDescent="0.35">
      <c r="B17" s="24">
        <v>15</v>
      </c>
      <c r="C17" s="24" t="s">
        <v>2</v>
      </c>
      <c r="D17" s="24">
        <v>3</v>
      </c>
      <c r="E17" s="24">
        <v>15</v>
      </c>
      <c r="F17" s="24" t="s">
        <v>9</v>
      </c>
      <c r="G17" s="24">
        <v>8</v>
      </c>
    </row>
    <row r="18" spans="2:7" x14ac:dyDescent="0.35">
      <c r="B18" s="24"/>
      <c r="C18" s="24"/>
      <c r="D18" s="24"/>
      <c r="E18" s="24">
        <v>16</v>
      </c>
      <c r="F18" s="24" t="s">
        <v>23</v>
      </c>
      <c r="G18" s="24">
        <v>1</v>
      </c>
    </row>
    <row r="19" spans="2:7" x14ac:dyDescent="0.35">
      <c r="B19" s="24"/>
      <c r="C19" s="24"/>
      <c r="D19" s="24"/>
      <c r="E19" s="24">
        <v>17</v>
      </c>
      <c r="F19" s="24" t="s">
        <v>17</v>
      </c>
      <c r="G19" s="24">
        <v>3</v>
      </c>
    </row>
    <row r="20" spans="2:7" x14ac:dyDescent="0.35">
      <c r="B20" s="24"/>
      <c r="C20" s="24"/>
      <c r="D20" s="24"/>
      <c r="E20" s="24">
        <v>18</v>
      </c>
      <c r="F20" s="24" t="s">
        <v>22</v>
      </c>
      <c r="G20" s="24">
        <v>1</v>
      </c>
    </row>
    <row r="21" spans="2:7" x14ac:dyDescent="0.35">
      <c r="B21" s="24"/>
      <c r="C21" s="24"/>
      <c r="D21" s="24"/>
      <c r="E21" s="24">
        <v>19</v>
      </c>
      <c r="F21" s="24" t="s">
        <v>16</v>
      </c>
      <c r="G21" s="24">
        <v>4</v>
      </c>
    </row>
    <row r="22" spans="2:7" x14ac:dyDescent="0.35">
      <c r="B22" s="24"/>
      <c r="C22" s="24"/>
      <c r="D22" s="24"/>
      <c r="E22" s="24">
        <v>20</v>
      </c>
      <c r="F22" s="24" t="s">
        <v>47</v>
      </c>
      <c r="G22" s="24">
        <v>2</v>
      </c>
    </row>
    <row r="23" spans="2:7" x14ac:dyDescent="0.35">
      <c r="B23" s="24"/>
      <c r="C23" s="24"/>
      <c r="D23" s="24"/>
      <c r="E23" s="24">
        <v>21</v>
      </c>
      <c r="F23" s="24" t="s">
        <v>8</v>
      </c>
      <c r="G23" s="24">
        <v>5</v>
      </c>
    </row>
    <row r="24" spans="2:7" x14ac:dyDescent="0.35">
      <c r="B24" s="24"/>
      <c r="C24" s="24"/>
      <c r="D24" s="24"/>
      <c r="E24" s="24">
        <v>22</v>
      </c>
      <c r="F24" s="24" t="s">
        <v>48</v>
      </c>
      <c r="G24" s="24">
        <v>7</v>
      </c>
    </row>
    <row r="25" spans="2:7" x14ac:dyDescent="0.35">
      <c r="B25" s="24"/>
      <c r="C25" s="24"/>
      <c r="D25" s="24"/>
      <c r="E25" s="24">
        <v>23</v>
      </c>
      <c r="F25" s="24" t="s">
        <v>12</v>
      </c>
      <c r="G25" s="24">
        <v>3</v>
      </c>
    </row>
    <row r="26" spans="2:7" x14ac:dyDescent="0.35">
      <c r="B26" s="24"/>
      <c r="C26" s="24"/>
      <c r="D26" s="24"/>
      <c r="E26" s="24">
        <v>24</v>
      </c>
      <c r="F26" s="24" t="s">
        <v>49</v>
      </c>
      <c r="G26" s="24">
        <v>2</v>
      </c>
    </row>
    <row r="27" spans="2:7" x14ac:dyDescent="0.35">
      <c r="B27" s="24"/>
      <c r="C27" s="24"/>
      <c r="D27" s="27"/>
      <c r="E27" s="24">
        <v>25</v>
      </c>
      <c r="F27" s="24" t="s">
        <v>50</v>
      </c>
      <c r="G27" s="24">
        <v>2</v>
      </c>
    </row>
    <row r="28" spans="2:7" x14ac:dyDescent="0.35">
      <c r="B28" s="24"/>
      <c r="C28" s="24"/>
      <c r="D28" s="24"/>
      <c r="E28" s="24">
        <v>26</v>
      </c>
      <c r="F28" s="24" t="s">
        <v>51</v>
      </c>
      <c r="G28" s="24">
        <v>1</v>
      </c>
    </row>
    <row r="29" spans="2:7" x14ac:dyDescent="0.35">
      <c r="B29" s="24">
        <f>MAX(B3:B28)</f>
        <v>15</v>
      </c>
      <c r="C29" s="24"/>
      <c r="D29" s="24">
        <f>SUM(D3:D28)</f>
        <v>142</v>
      </c>
      <c r="E29" s="24">
        <f>MAX(E3:E28)</f>
        <v>26</v>
      </c>
      <c r="F29" s="24"/>
      <c r="G29" s="24">
        <f>SUM(G3:G28)</f>
        <v>89</v>
      </c>
    </row>
    <row r="30" spans="2:7" ht="15.5" x14ac:dyDescent="0.35">
      <c r="B30" s="23"/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workbookViewId="0">
      <selection activeCell="B37" sqref="B37"/>
    </sheetView>
  </sheetViews>
  <sheetFormatPr defaultRowHeight="14.5" x14ac:dyDescent="0.35"/>
  <sheetData>
    <row r="2" spans="2:11" x14ac:dyDescent="0.35">
      <c r="B2" s="6" t="s">
        <v>25</v>
      </c>
      <c r="C2" s="7"/>
      <c r="D2" s="3" t="s">
        <v>0</v>
      </c>
      <c r="E2" s="4" t="s">
        <v>26</v>
      </c>
      <c r="F2" s="5"/>
      <c r="G2" s="6" t="s">
        <v>25</v>
      </c>
      <c r="H2" s="7"/>
      <c r="I2" s="3" t="s">
        <v>24</v>
      </c>
      <c r="J2" s="4" t="s">
        <v>26</v>
      </c>
      <c r="K2" s="5"/>
    </row>
    <row r="3" spans="2:11" x14ac:dyDescent="0.35">
      <c r="B3" s="6">
        <v>1</v>
      </c>
      <c r="C3" s="7"/>
      <c r="D3" s="16" t="s">
        <v>40</v>
      </c>
      <c r="E3" s="6">
        <v>29</v>
      </c>
      <c r="F3" s="7"/>
      <c r="G3" s="6">
        <v>1</v>
      </c>
      <c r="H3" s="7"/>
      <c r="I3" s="2" t="s">
        <v>18</v>
      </c>
      <c r="J3" s="6">
        <v>4</v>
      </c>
      <c r="K3" s="7"/>
    </row>
    <row r="4" spans="2:11" x14ac:dyDescent="0.35">
      <c r="B4" s="6">
        <v>2</v>
      </c>
      <c r="C4" s="7"/>
      <c r="D4" s="16" t="s">
        <v>7</v>
      </c>
      <c r="E4" s="6">
        <v>2</v>
      </c>
      <c r="F4" s="7"/>
      <c r="G4" s="6">
        <v>2</v>
      </c>
      <c r="H4" s="7"/>
      <c r="I4" s="2" t="s">
        <v>20</v>
      </c>
      <c r="J4" s="6">
        <v>2</v>
      </c>
      <c r="K4" s="7"/>
    </row>
    <row r="5" spans="2:11" x14ac:dyDescent="0.35">
      <c r="B5" s="6">
        <v>3</v>
      </c>
      <c r="C5" s="7"/>
      <c r="D5" s="16" t="s">
        <v>6</v>
      </c>
      <c r="E5" s="6">
        <v>1</v>
      </c>
      <c r="F5" s="7"/>
      <c r="G5" s="6">
        <v>3</v>
      </c>
      <c r="H5" s="7"/>
      <c r="I5" s="2" t="s">
        <v>19</v>
      </c>
      <c r="J5" s="6">
        <v>3</v>
      </c>
      <c r="K5" s="7"/>
    </row>
    <row r="6" spans="2:11" x14ac:dyDescent="0.35">
      <c r="B6" s="6">
        <v>4</v>
      </c>
      <c r="C6" s="7"/>
      <c r="D6" s="16" t="s">
        <v>34</v>
      </c>
      <c r="E6" s="6">
        <v>1</v>
      </c>
      <c r="F6" s="7"/>
      <c r="G6" s="6">
        <v>4</v>
      </c>
      <c r="H6" s="7"/>
      <c r="I6" s="2" t="s">
        <v>21</v>
      </c>
      <c r="J6" s="6">
        <v>3</v>
      </c>
      <c r="K6" s="7"/>
    </row>
    <row r="7" spans="2:11" x14ac:dyDescent="0.35">
      <c r="B7" s="6">
        <v>5</v>
      </c>
      <c r="C7" s="7"/>
      <c r="D7" s="16" t="s">
        <v>36</v>
      </c>
      <c r="E7" s="6">
        <v>26</v>
      </c>
      <c r="F7" s="7"/>
      <c r="G7" s="6">
        <v>5</v>
      </c>
      <c r="H7" s="7"/>
      <c r="I7" s="2" t="s">
        <v>42</v>
      </c>
      <c r="J7" s="6">
        <v>1</v>
      </c>
      <c r="K7" s="7"/>
    </row>
    <row r="8" spans="2:11" x14ac:dyDescent="0.35">
      <c r="B8" s="6">
        <v>6</v>
      </c>
      <c r="C8" s="7"/>
      <c r="D8" s="16" t="s">
        <v>37</v>
      </c>
      <c r="E8" s="6">
        <v>10</v>
      </c>
      <c r="F8" s="7"/>
      <c r="G8" s="6">
        <v>6</v>
      </c>
      <c r="H8" s="7"/>
      <c r="I8" s="2" t="s">
        <v>10</v>
      </c>
      <c r="J8" s="6">
        <v>4</v>
      </c>
      <c r="K8" s="7"/>
    </row>
    <row r="9" spans="2:11" x14ac:dyDescent="0.35">
      <c r="B9" s="6">
        <v>7</v>
      </c>
      <c r="C9" s="7"/>
      <c r="D9" s="16" t="s">
        <v>38</v>
      </c>
      <c r="E9" s="6">
        <v>13</v>
      </c>
      <c r="F9" s="7"/>
      <c r="G9" s="6">
        <v>7</v>
      </c>
      <c r="H9" s="7"/>
      <c r="I9" s="2" t="s">
        <v>11</v>
      </c>
      <c r="J9" s="6">
        <v>5</v>
      </c>
      <c r="K9" s="7"/>
    </row>
    <row r="10" spans="2:11" x14ac:dyDescent="0.35">
      <c r="B10" s="6">
        <v>8</v>
      </c>
      <c r="C10" s="7"/>
      <c r="D10" s="16" t="s">
        <v>39</v>
      </c>
      <c r="E10" s="6">
        <v>1</v>
      </c>
      <c r="F10" s="7"/>
      <c r="G10" s="6">
        <v>8</v>
      </c>
      <c r="H10" s="7"/>
      <c r="I10" s="2" t="s">
        <v>43</v>
      </c>
      <c r="J10" s="6">
        <v>1</v>
      </c>
      <c r="K10" s="7"/>
    </row>
    <row r="11" spans="2:11" x14ac:dyDescent="0.35">
      <c r="B11" s="6">
        <v>9</v>
      </c>
      <c r="C11" s="7"/>
      <c r="D11" s="16" t="s">
        <v>5</v>
      </c>
      <c r="E11" s="6">
        <v>1</v>
      </c>
      <c r="F11" s="7"/>
      <c r="G11" s="6">
        <v>9</v>
      </c>
      <c r="H11" s="7"/>
      <c r="I11" s="2" t="s">
        <v>44</v>
      </c>
      <c r="J11" s="6">
        <v>2</v>
      </c>
      <c r="K11" s="7"/>
    </row>
    <row r="12" spans="2:11" x14ac:dyDescent="0.35">
      <c r="B12" s="6">
        <v>10</v>
      </c>
      <c r="C12" s="7"/>
      <c r="D12" s="16" t="s">
        <v>41</v>
      </c>
      <c r="E12" s="6">
        <v>26</v>
      </c>
      <c r="F12" s="7"/>
      <c r="G12" s="6">
        <v>10</v>
      </c>
      <c r="H12" s="7"/>
      <c r="I12" s="2" t="s">
        <v>13</v>
      </c>
      <c r="J12" s="6">
        <v>7</v>
      </c>
      <c r="K12" s="7"/>
    </row>
    <row r="13" spans="2:11" x14ac:dyDescent="0.35">
      <c r="B13" s="6">
        <v>11</v>
      </c>
      <c r="C13" s="7"/>
      <c r="D13" s="17" t="s">
        <v>1</v>
      </c>
      <c r="E13" s="6">
        <v>3</v>
      </c>
      <c r="F13" s="7"/>
      <c r="G13" s="6">
        <v>11</v>
      </c>
      <c r="H13" s="7"/>
      <c r="I13" s="2" t="s">
        <v>14</v>
      </c>
      <c r="J13" s="6">
        <v>7</v>
      </c>
      <c r="K13" s="7"/>
    </row>
    <row r="14" spans="2:11" x14ac:dyDescent="0.35">
      <c r="B14" s="6">
        <v>12</v>
      </c>
      <c r="C14" s="7"/>
      <c r="D14" s="17" t="s">
        <v>3</v>
      </c>
      <c r="E14" s="6">
        <v>8</v>
      </c>
      <c r="F14" s="7"/>
      <c r="G14" s="6">
        <v>12</v>
      </c>
      <c r="H14" s="7"/>
      <c r="I14" s="2" t="s">
        <v>15</v>
      </c>
      <c r="J14" s="6">
        <v>3</v>
      </c>
      <c r="K14" s="7"/>
    </row>
    <row r="15" spans="2:11" x14ac:dyDescent="0.35">
      <c r="B15" s="6">
        <v>13</v>
      </c>
      <c r="C15" s="7"/>
      <c r="D15" s="16" t="s">
        <v>4</v>
      </c>
      <c r="E15" s="6">
        <v>2</v>
      </c>
      <c r="F15" s="7"/>
      <c r="G15" s="6">
        <v>13</v>
      </c>
      <c r="H15" s="7"/>
      <c r="I15" s="2" t="s">
        <v>45</v>
      </c>
      <c r="J15" s="6">
        <v>7</v>
      </c>
      <c r="K15" s="7"/>
    </row>
    <row r="16" spans="2:11" x14ac:dyDescent="0.35">
      <c r="B16" s="6">
        <v>14</v>
      </c>
      <c r="C16" s="7"/>
      <c r="D16" s="16" t="s">
        <v>35</v>
      </c>
      <c r="E16" s="6">
        <v>16</v>
      </c>
      <c r="F16" s="7"/>
      <c r="G16" s="6">
        <v>14</v>
      </c>
      <c r="H16" s="7"/>
      <c r="I16" s="2" t="s">
        <v>46</v>
      </c>
      <c r="J16" s="6">
        <v>1</v>
      </c>
      <c r="K16" s="7"/>
    </row>
    <row r="17" spans="2:11" x14ac:dyDescent="0.35">
      <c r="B17" s="6">
        <v>15</v>
      </c>
      <c r="C17" s="7"/>
      <c r="D17" s="16" t="s">
        <v>2</v>
      </c>
      <c r="E17" s="6">
        <v>3</v>
      </c>
      <c r="F17" s="7"/>
      <c r="G17" s="6">
        <v>15</v>
      </c>
      <c r="H17" s="7"/>
      <c r="I17" s="2" t="s">
        <v>9</v>
      </c>
      <c r="J17" s="6">
        <v>8</v>
      </c>
      <c r="K17" s="7"/>
    </row>
    <row r="18" spans="2:11" x14ac:dyDescent="0.35">
      <c r="B18" s="6"/>
      <c r="C18" s="7"/>
      <c r="D18" s="16"/>
      <c r="E18" s="18"/>
      <c r="F18" s="19"/>
      <c r="G18" s="6">
        <v>16</v>
      </c>
      <c r="H18" s="7"/>
      <c r="I18" s="2" t="s">
        <v>23</v>
      </c>
      <c r="J18" s="6">
        <v>1</v>
      </c>
      <c r="K18" s="7"/>
    </row>
    <row r="19" spans="2:11" x14ac:dyDescent="0.35">
      <c r="B19" s="6"/>
      <c r="C19" s="7"/>
      <c r="D19" s="16"/>
      <c r="E19" s="18"/>
      <c r="F19" s="19"/>
      <c r="G19" s="6">
        <v>17</v>
      </c>
      <c r="H19" s="7"/>
      <c r="I19" s="2" t="s">
        <v>17</v>
      </c>
      <c r="J19" s="6">
        <v>3</v>
      </c>
      <c r="K19" s="7"/>
    </row>
    <row r="20" spans="2:11" x14ac:dyDescent="0.35">
      <c r="B20" s="6"/>
      <c r="C20" s="7"/>
      <c r="D20" s="16"/>
      <c r="E20" s="18"/>
      <c r="F20" s="19"/>
      <c r="G20" s="6">
        <v>18</v>
      </c>
      <c r="H20" s="7"/>
      <c r="I20" s="2" t="s">
        <v>22</v>
      </c>
      <c r="J20" s="6">
        <v>1</v>
      </c>
      <c r="K20" s="7"/>
    </row>
    <row r="21" spans="2:11" x14ac:dyDescent="0.35">
      <c r="B21" s="6"/>
      <c r="C21" s="7"/>
      <c r="D21" s="16"/>
      <c r="E21" s="18"/>
      <c r="F21" s="19"/>
      <c r="G21" s="6">
        <v>19</v>
      </c>
      <c r="H21" s="7"/>
      <c r="I21" s="2" t="s">
        <v>16</v>
      </c>
      <c r="J21" s="6">
        <v>4</v>
      </c>
      <c r="K21" s="7"/>
    </row>
    <row r="22" spans="2:11" x14ac:dyDescent="0.35">
      <c r="B22" s="6"/>
      <c r="C22" s="7"/>
      <c r="D22" s="16"/>
      <c r="E22" s="18"/>
      <c r="F22" s="19"/>
      <c r="G22" s="6">
        <v>20</v>
      </c>
      <c r="H22" s="7"/>
      <c r="I22" s="2" t="s">
        <v>47</v>
      </c>
      <c r="J22" s="6">
        <v>2</v>
      </c>
      <c r="K22" s="7"/>
    </row>
    <row r="23" spans="2:11" x14ac:dyDescent="0.35">
      <c r="B23" s="6"/>
      <c r="C23" s="7"/>
      <c r="D23" s="16"/>
      <c r="E23" s="18"/>
      <c r="F23" s="19"/>
      <c r="G23" s="6">
        <v>21</v>
      </c>
      <c r="H23" s="7"/>
      <c r="I23" s="2" t="s">
        <v>8</v>
      </c>
      <c r="J23" s="6">
        <v>5</v>
      </c>
      <c r="K23" s="7"/>
    </row>
    <row r="24" spans="2:11" x14ac:dyDescent="0.35">
      <c r="B24" s="6"/>
      <c r="C24" s="7"/>
      <c r="D24" s="16"/>
      <c r="E24" s="18"/>
      <c r="F24" s="19"/>
      <c r="G24" s="6">
        <v>22</v>
      </c>
      <c r="H24" s="7"/>
      <c r="I24" s="2" t="s">
        <v>48</v>
      </c>
      <c r="J24" s="6">
        <v>7</v>
      </c>
      <c r="K24" s="7"/>
    </row>
    <row r="25" spans="2:11" x14ac:dyDescent="0.35">
      <c r="B25" s="6"/>
      <c r="C25" s="7"/>
      <c r="D25" s="2"/>
      <c r="E25" s="6"/>
      <c r="F25" s="7"/>
      <c r="G25" s="6">
        <v>23</v>
      </c>
      <c r="H25" s="7"/>
      <c r="I25" s="2" t="s">
        <v>12</v>
      </c>
      <c r="J25" s="6">
        <v>3</v>
      </c>
      <c r="K25" s="7"/>
    </row>
    <row r="26" spans="2:11" x14ac:dyDescent="0.35">
      <c r="B26" s="6"/>
      <c r="C26" s="7"/>
      <c r="D26" s="2"/>
      <c r="E26" s="6"/>
      <c r="F26" s="7"/>
      <c r="G26" s="6">
        <v>24</v>
      </c>
      <c r="H26" s="7"/>
      <c r="I26" s="2" t="s">
        <v>49</v>
      </c>
      <c r="J26" s="6">
        <v>2</v>
      </c>
      <c r="K26" s="7"/>
    </row>
    <row r="27" spans="2:11" x14ac:dyDescent="0.35">
      <c r="B27" s="6"/>
      <c r="C27" s="7"/>
      <c r="D27" s="2"/>
      <c r="E27" s="14"/>
      <c r="F27" s="15"/>
      <c r="G27" s="6">
        <v>25</v>
      </c>
      <c r="H27" s="7"/>
      <c r="I27" s="2" t="s">
        <v>50</v>
      </c>
      <c r="J27" s="6">
        <v>2</v>
      </c>
      <c r="K27" s="7"/>
    </row>
    <row r="28" spans="2:11" x14ac:dyDescent="0.35">
      <c r="B28" s="6"/>
      <c r="C28" s="7"/>
      <c r="D28" s="11"/>
      <c r="E28" s="6"/>
      <c r="F28" s="7"/>
      <c r="G28" s="6">
        <v>26</v>
      </c>
      <c r="H28" s="7"/>
      <c r="I28" s="2" t="s">
        <v>51</v>
      </c>
      <c r="J28" s="6">
        <v>1</v>
      </c>
      <c r="K28" s="7"/>
    </row>
    <row r="29" spans="2:11" ht="15" x14ac:dyDescent="0.35">
      <c r="B29" s="9" t="s">
        <v>29</v>
      </c>
      <c r="C29" s="10">
        <f>MAX(B3:C28)</f>
        <v>15</v>
      </c>
      <c r="D29" s="11"/>
      <c r="E29" s="9" t="s">
        <v>28</v>
      </c>
      <c r="F29" s="12">
        <f>SUM(E3:F28)</f>
        <v>142</v>
      </c>
      <c r="G29" s="9" t="s">
        <v>30</v>
      </c>
      <c r="H29" s="10">
        <f>MAX(G3:H28)</f>
        <v>26</v>
      </c>
      <c r="I29" s="13"/>
      <c r="J29" s="8" t="s">
        <v>28</v>
      </c>
      <c r="K29" s="8">
        <f>SUM(J3:K28)</f>
        <v>89</v>
      </c>
    </row>
    <row r="30" spans="2:11" x14ac:dyDescent="0.35">
      <c r="B30" s="1"/>
      <c r="C30" s="1"/>
    </row>
    <row r="31" spans="2:11" x14ac:dyDescent="0.35">
      <c r="B31" s="20" t="s">
        <v>31</v>
      </c>
      <c r="C31" s="21"/>
      <c r="D31" s="21"/>
      <c r="E31" s="22">
        <f xml:space="preserve"> SUM(C29,H29)</f>
        <v>41</v>
      </c>
    </row>
    <row r="32" spans="2:11" x14ac:dyDescent="0.35">
      <c r="B32" s="20" t="s">
        <v>32</v>
      </c>
      <c r="C32" s="21"/>
      <c r="D32" s="21"/>
      <c r="E32" s="22">
        <f xml:space="preserve"> SUM(F29,K29)</f>
        <v>231</v>
      </c>
    </row>
    <row r="33" spans="2:5" x14ac:dyDescent="0.35">
      <c r="B33" s="20" t="s">
        <v>33</v>
      </c>
      <c r="C33" s="21"/>
      <c r="D33" s="21"/>
      <c r="E33" s="22">
        <f xml:space="preserve"> E32 * LOG(E31,2)</f>
        <v>1237.5945130667774</v>
      </c>
    </row>
  </sheetData>
  <mergeCells count="111">
    <mergeCell ref="B33:D33"/>
    <mergeCell ref="B28:C28"/>
    <mergeCell ref="E28:F28"/>
    <mergeCell ref="G28:H28"/>
    <mergeCell ref="J28:K28"/>
    <mergeCell ref="B31:D31"/>
    <mergeCell ref="B32:D32"/>
    <mergeCell ref="B26:C26"/>
    <mergeCell ref="E26:F26"/>
    <mergeCell ref="G26:H26"/>
    <mergeCell ref="J26:K26"/>
    <mergeCell ref="B27:C27"/>
    <mergeCell ref="E27:F27"/>
    <mergeCell ref="G27:H27"/>
    <mergeCell ref="J27:K27"/>
    <mergeCell ref="B24:C24"/>
    <mergeCell ref="E24:F24"/>
    <mergeCell ref="G24:H24"/>
    <mergeCell ref="J24:K24"/>
    <mergeCell ref="B25:C25"/>
    <mergeCell ref="E25:F25"/>
    <mergeCell ref="G25:H25"/>
    <mergeCell ref="J25:K25"/>
    <mergeCell ref="B22:C22"/>
    <mergeCell ref="E22:F22"/>
    <mergeCell ref="G22:H22"/>
    <mergeCell ref="J22:K22"/>
    <mergeCell ref="B23:C23"/>
    <mergeCell ref="E23:F23"/>
    <mergeCell ref="G23:H23"/>
    <mergeCell ref="J23:K23"/>
    <mergeCell ref="B20:C20"/>
    <mergeCell ref="E20:F20"/>
    <mergeCell ref="G20:H20"/>
    <mergeCell ref="J20:K20"/>
    <mergeCell ref="B21:C21"/>
    <mergeCell ref="E21:F21"/>
    <mergeCell ref="G21:H21"/>
    <mergeCell ref="J21:K21"/>
    <mergeCell ref="B18:C18"/>
    <mergeCell ref="E18:F18"/>
    <mergeCell ref="G18:H18"/>
    <mergeCell ref="J18:K18"/>
    <mergeCell ref="B19:C19"/>
    <mergeCell ref="E19:F19"/>
    <mergeCell ref="G19:H19"/>
    <mergeCell ref="J19:K19"/>
    <mergeCell ref="B16:C16"/>
    <mergeCell ref="E16:F16"/>
    <mergeCell ref="G16:H16"/>
    <mergeCell ref="J16:K16"/>
    <mergeCell ref="B17:C17"/>
    <mergeCell ref="E17:F17"/>
    <mergeCell ref="G17:H17"/>
    <mergeCell ref="J17:K17"/>
    <mergeCell ref="B14:C14"/>
    <mergeCell ref="E14:F14"/>
    <mergeCell ref="G14:H14"/>
    <mergeCell ref="J14:K14"/>
    <mergeCell ref="B15:C15"/>
    <mergeCell ref="E15:F15"/>
    <mergeCell ref="G15:H15"/>
    <mergeCell ref="J15:K15"/>
    <mergeCell ref="B12:C12"/>
    <mergeCell ref="E12:F12"/>
    <mergeCell ref="G12:H12"/>
    <mergeCell ref="J12:K12"/>
    <mergeCell ref="B13:C13"/>
    <mergeCell ref="E13:F13"/>
    <mergeCell ref="G13:H13"/>
    <mergeCell ref="J13:K13"/>
    <mergeCell ref="B10:C10"/>
    <mergeCell ref="E10:F10"/>
    <mergeCell ref="G10:H10"/>
    <mergeCell ref="J10:K10"/>
    <mergeCell ref="B11:C11"/>
    <mergeCell ref="E11:F11"/>
    <mergeCell ref="G11:H11"/>
    <mergeCell ref="J11:K11"/>
    <mergeCell ref="B8:C8"/>
    <mergeCell ref="E8:F8"/>
    <mergeCell ref="G8:H8"/>
    <mergeCell ref="J8:K8"/>
    <mergeCell ref="B9:C9"/>
    <mergeCell ref="E9:F9"/>
    <mergeCell ref="G9:H9"/>
    <mergeCell ref="J9:K9"/>
    <mergeCell ref="B6:C6"/>
    <mergeCell ref="E6:F6"/>
    <mergeCell ref="G6:H6"/>
    <mergeCell ref="J6:K6"/>
    <mergeCell ref="B7:C7"/>
    <mergeCell ref="E7:F7"/>
    <mergeCell ref="G7:H7"/>
    <mergeCell ref="J7:K7"/>
    <mergeCell ref="B4:C4"/>
    <mergeCell ref="E4:F4"/>
    <mergeCell ref="G4:H4"/>
    <mergeCell ref="J4:K4"/>
    <mergeCell ref="B5:C5"/>
    <mergeCell ref="E5:F5"/>
    <mergeCell ref="G5:H5"/>
    <mergeCell ref="J5:K5"/>
    <mergeCell ref="B2:C2"/>
    <mergeCell ref="E2:F2"/>
    <mergeCell ref="G2:H2"/>
    <mergeCell ref="J2:K2"/>
    <mergeCell ref="B3:C3"/>
    <mergeCell ref="E3:F3"/>
    <mergeCell ref="G3:H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Кузин Антон Дмитриевич</dc:creator>
  <cp:lastModifiedBy>Кузин Антон Дмитриевич</cp:lastModifiedBy>
  <dcterms:created xsi:type="dcterms:W3CDTF">2025-06-18T07:30:58Z</dcterms:created>
  <dcterms:modified xsi:type="dcterms:W3CDTF">2025-06-18T09:43:11Z</dcterms:modified>
</cp:coreProperties>
</file>